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slicers/slicer1.xml" ContentType="application/vnd.ms-excel.slicer+xml"/>
  <Override PartName="/xl/pivotTables/pivotTable1.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01" codeName="{0111311B-0956-48F4-D2DB-CD56BCBECE7C}"/>
  <workbookPr codeName="ThisWorkbook"/>
  <mc:AlternateContent xmlns:mc="http://schemas.openxmlformats.org/markup-compatibility/2006">
    <mc:Choice Requires="x15">
      <x15ac:absPath xmlns:x15ac="http://schemas.microsoft.com/office/spreadsheetml/2010/11/ac" url="C:\Users\jpo64\Desktop\H&amp;M Excel Days\Excel Resources\Book Examples\"/>
    </mc:Choice>
  </mc:AlternateContent>
  <xr:revisionPtr revIDLastSave="0" documentId="13_ncr:1_{296B2EE9-4D52-464D-B186-5E63243DA2AC}" xr6:coauthVersionLast="43" xr6:coauthVersionMax="43" xr10:uidLastSave="{00000000-0000-0000-0000-000000000000}"/>
  <bookViews>
    <workbookView xWindow="-93" yWindow="-93" windowWidth="25786" windowHeight="13986" activeTab="1" xr2:uid="{00000000-000D-0000-FFFF-FFFF00000000}"/>
  </bookViews>
  <sheets>
    <sheet name="Frontend" sheetId="4" r:id="rId1"/>
    <sheet name="Wizard" sheetId="1" r:id="rId2"/>
    <sheet name="Helper" sheetId="2" r:id="rId3"/>
    <sheet name="Database" sheetId="3" r:id="rId4"/>
  </sheets>
  <definedNames>
    <definedName name="Database.CurrentIndex">Database!$B$6</definedName>
    <definedName name="Database.InputEntry">Database!$A$2:$F$2</definedName>
    <definedName name="Database.RecordCount">Database!$B$4</definedName>
    <definedName name="Database.RecordMax">Database!$B$5</definedName>
    <definedName name="Helper.CurrentPageIndex">Helper!$B$7</definedName>
    <definedName name="Helper.InstructionsTable">Helper!$A$12:$A$15</definedName>
    <definedName name="Helper.SelectedOptionNumber">Helper!$B$9</definedName>
    <definedName name="Helper.SelectionOptionFromTable">Helper!$H$2</definedName>
    <definedName name="Helper.TotalPages">Helper!$B$8</definedName>
    <definedName name="Slicer_Options_Table">#N/A</definedName>
    <definedName name="Wizard.Comment">Wizard!$G$10</definedName>
    <definedName name="Wizard.ProjectBeginDate">Wizard!$G$8</definedName>
    <definedName name="Wizard.ProjectBudget">Wizard!$G$6</definedName>
    <definedName name="Wizard.ProjectName">Wizard!$G$4</definedName>
    <definedName name="Wizard.StepRange">Wizard!$B$4:$B$7</definedName>
    <definedName name="Wizard.View1">Wizard!$D:$J</definedName>
    <definedName name="Wizard.View2">Wizard!$K:$P</definedName>
    <definedName name="Wizard.View3">Wizard!$Q:$X</definedName>
  </definedNames>
  <calcPr calcId="191029"/>
  <pivotCaches>
    <pivotCache cacheId="1"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5" i="3" l="1"/>
  <c r="B4" i="3"/>
  <c r="F2" i="3"/>
  <c r="E2" i="3"/>
  <c r="D2" i="3"/>
  <c r="C2" i="3"/>
  <c r="B2" i="3"/>
  <c r="B9" i="2" l="1"/>
  <c r="R2" i="1"/>
  <c r="A4" i="1" l="1"/>
  <c r="A5" i="1"/>
  <c r="A6" i="1"/>
  <c r="L2" i="1" l="1"/>
  <c r="Z3" i="1"/>
  <c r="E2" i="1"/>
  <c r="B13" i="1"/>
</calcChain>
</file>

<file path=xl/sharedStrings.xml><?xml version="1.0" encoding="utf-8"?>
<sst xmlns="http://schemas.openxmlformats.org/spreadsheetml/2006/main" count="47" uniqueCount="35">
  <si>
    <t>Complete all steps</t>
  </si>
  <si>
    <t>Current Page Index</t>
  </si>
  <si>
    <t>Total Pages</t>
  </si>
  <si>
    <t>Instructions</t>
  </si>
  <si>
    <t>Instrucitons Table</t>
  </si>
  <si>
    <t>Lorem ipsum dolor sit amet, consectetur adipiscing elit. Donec eu elit posuere lacus congue malesuada. In hac habitasse platea dictumst. Vivamus facilisis viverra scelerisque. Sed in semper est, bibendum euismod massa. Fusce posuere enim ut tempus convallis. Nullam vel cursus libero, quis iaculis leo. Cras non libero sed sem facilisis accumsan a ut urna. Vestibulum sollicitudin feugiat dui at feugiat.</t>
  </si>
  <si>
    <t>Praesent vulputate scelerisque tincidunt. Cras et accumsan elit. Praesent in imperdiet felis. Aliquam vitae nisi gravida, tempus mauris at, adipiscing arcu. Morbi id risus ante. Praesent eget suscipit leo, porttitor tincidunt elit. Suspendisse nec rutrum orci, quis mollis velit. Sed vitae risus vel elit semper interdum a quis arcu.</t>
  </si>
  <si>
    <t>Nam tortor metus, feugiat quis semper ornare, pellentesque sit amet libero. Aliquam luctus porta enim, non congue quam. Ut rhoncus euismod interdum. Donec sollicitudin rutrum placerat. In eget tortor lorem. Mauris accumsan odio in massa consequat, in faucibus metus consequat. Fusce egestas vehicula egestas. Proin ut fermentum magna. Mauris id odio quis turpis imperdiet feugiat vel at quam. Morbi nibh lectus, sagittis non vulputate vel, ornare suscipit leo.</t>
  </si>
  <si>
    <t>Curabitur tortor eros, adipiscing nec erat in, tincidunt hendrerit lorem. Pellentesque in metus sit amet mi fermentum faucibus. Fusce malesuada semper laoreet. Nunc malesuada augue sit amet porta congue. Ut at mattis elit. Nullam ut erat augue. Donec commodo interdum sagittis. Suspendisse eget purus pretium, ultricies nisl eget, lobortis nibh. Phasellus congue nibh vehicula eros consectetur egestas. Nam blandit at massa at vehicula. Curabitur porttitor orci dapibus nisl varius, in porttitor felis bibendum. Nam vitae cursus nunc, quis placerat sem. In scelerisque venenatis bibendum.</t>
  </si>
  <si>
    <t>1. Introduction</t>
  </si>
  <si>
    <t>2. Survey</t>
  </si>
  <si>
    <t>Project Name</t>
  </si>
  <si>
    <t>Project Budget</t>
  </si>
  <si>
    <t>Project Begin Date</t>
  </si>
  <si>
    <t>Comment</t>
  </si>
  <si>
    <t>&lt;--Helper.CurrentPageIndex</t>
  </si>
  <si>
    <t>&lt;-- Helper.TotalPages</t>
  </si>
  <si>
    <t>Selected Option Button</t>
  </si>
  <si>
    <t>3. Summary</t>
  </si>
  <si>
    <t>Option 1</t>
  </si>
  <si>
    <t>Option 2</t>
  </si>
  <si>
    <t>Option 3</t>
  </si>
  <si>
    <t>Option 4</t>
  </si>
  <si>
    <t>Options Table</t>
  </si>
  <si>
    <t>Row Labels</t>
  </si>
  <si>
    <t>Id</t>
  </si>
  <si>
    <t>Option Selection</t>
  </si>
  <si>
    <t>Record Count</t>
  </si>
  <si>
    <t>Record Max</t>
  </si>
  <si>
    <t>Current Index</t>
  </si>
  <si>
    <t>Dummy Record</t>
  </si>
  <si>
    <t>Your Data:</t>
  </si>
  <si>
    <t>Jordan Goldmeier</t>
  </si>
  <si>
    <t>This is a comment</t>
  </si>
  <si>
    <t>Jordan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</si>
</sst>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Color15][=0]\●;[Color9][=1]\●"/>
  </numFmts>
  <fonts count="12" x14ac:knownFonts="1">
    <font>
      <sz val="11"/>
      <color theme="1"/>
      <name val="Calibri"/>
      <family val="2"/>
      <scheme val="minor"/>
    </font>
    <font>
      <sz val="10"/>
      <color theme="1"/>
      <name val="Segoe UI"/>
      <family val="2"/>
    </font>
    <font>
      <sz val="11"/>
      <color theme="1"/>
      <name val="Segoe UI"/>
      <family val="2"/>
    </font>
    <font>
      <sz val="12"/>
      <color theme="1"/>
      <name val="Segoe UI"/>
      <family val="2"/>
    </font>
    <font>
      <sz val="8"/>
      <color rgb="FF000000"/>
      <name val="Arial"/>
      <family val="2"/>
    </font>
    <font>
      <sz val="18"/>
      <color theme="4" tint="-0.499984740745262"/>
      <name val="Segoe UI"/>
      <family val="2"/>
    </font>
    <font>
      <u/>
      <sz val="72"/>
      <color theme="1"/>
      <name val="Segoe UI"/>
      <family val="2"/>
    </font>
    <font>
      <sz val="22"/>
      <color theme="4" tint="-0.499984740745262"/>
      <name val="Segoe UI Light"/>
      <family val="2"/>
    </font>
    <font>
      <sz val="10"/>
      <color theme="0" tint="-0.499984740745262"/>
      <name val="Segoe UI"/>
      <family val="2"/>
    </font>
    <font>
      <b/>
      <sz val="11"/>
      <color theme="1"/>
      <name val="Calibri"/>
      <family val="2"/>
      <scheme val="minor"/>
    </font>
    <font>
      <b/>
      <sz val="11"/>
      <color theme="1"/>
      <name val="Segoe UI"/>
      <family val="2"/>
    </font>
    <font>
      <b/>
      <sz val="12"/>
      <color theme="1"/>
      <name val="Segoe UI"/>
      <family val="2"/>
    </font>
  </fonts>
  <fills count="5">
    <fill>
      <patternFill patternType="none"/>
    </fill>
    <fill>
      <patternFill patternType="gray125"/>
    </fill>
    <fill>
      <patternFill patternType="solid">
        <fgColor theme="0"/>
        <bgColor indexed="64"/>
      </patternFill>
    </fill>
    <fill>
      <patternFill patternType="solid">
        <fgColor rgb="FFF7F7F7"/>
        <bgColor indexed="64"/>
      </patternFill>
    </fill>
    <fill>
      <patternFill patternType="solid">
        <fgColor theme="7" tint="0.79998168889431442"/>
        <bgColor indexed="64"/>
      </patternFill>
    </fill>
  </fills>
  <borders count="16">
    <border>
      <left/>
      <right/>
      <top/>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diagonal/>
    </border>
    <border>
      <left/>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top/>
      <bottom/>
      <diagonal/>
    </border>
    <border>
      <left/>
      <right style="thin">
        <color theme="0" tint="-0.249977111117893"/>
      </right>
      <top/>
      <bottom/>
      <diagonal/>
    </border>
    <border>
      <left style="thin">
        <color theme="0" tint="-0.249977111117893"/>
      </left>
      <right/>
      <top/>
      <bottom style="thin">
        <color theme="0" tint="-0.249977111117893"/>
      </bottom>
      <diagonal/>
    </border>
    <border>
      <left/>
      <right/>
      <top/>
      <bottom style="thin">
        <color theme="0" tint="-0.249977111117893"/>
      </bottom>
      <diagonal/>
    </border>
    <border>
      <left/>
      <right style="thin">
        <color theme="0" tint="-0.249977111117893"/>
      </right>
      <top/>
      <bottom style="thin">
        <color theme="0" tint="-0.249977111117893"/>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theme="0" tint="-0.249977111117893"/>
      </right>
      <top/>
      <bottom/>
      <diagonal/>
    </border>
    <border>
      <left style="thin">
        <color theme="0" tint="-0.499984740745262"/>
      </left>
      <right style="thin">
        <color theme="0" tint="-0.499984740745262"/>
      </right>
      <top/>
      <bottom style="thin">
        <color theme="0" tint="-0.499984740745262"/>
      </bottom>
      <diagonal/>
    </border>
  </borders>
  <cellStyleXfs count="1">
    <xf numFmtId="0" fontId="0" fillId="0" borderId="0"/>
  </cellStyleXfs>
  <cellXfs count="49">
    <xf numFmtId="0" fontId="0" fillId="0" borderId="0" xfId="0"/>
    <xf numFmtId="0" fontId="3" fillId="3" borderId="0" xfId="0" applyFont="1" applyFill="1"/>
    <xf numFmtId="0" fontId="2" fillId="3" borderId="0" xfId="0" applyFont="1" applyFill="1"/>
    <xf numFmtId="0" fontId="2" fillId="3" borderId="8" xfId="0" applyFont="1" applyFill="1" applyBorder="1"/>
    <xf numFmtId="0" fontId="2" fillId="2" borderId="7" xfId="0" applyFont="1" applyFill="1" applyBorder="1"/>
    <xf numFmtId="0" fontId="2" fillId="2" borderId="0" xfId="0" applyFont="1" applyFill="1"/>
    <xf numFmtId="0" fontId="2" fillId="0" borderId="0" xfId="0" applyFont="1"/>
    <xf numFmtId="164" fontId="1" fillId="3" borderId="0" xfId="0" applyNumberFormat="1" applyFont="1" applyFill="1" applyAlignment="1">
      <alignment vertical="center"/>
    </xf>
    <xf numFmtId="0" fontId="3" fillId="3" borderId="0" xfId="0" applyFont="1" applyFill="1" applyAlignment="1">
      <alignment horizontal="right"/>
    </xf>
    <xf numFmtId="0" fontId="8" fillId="3" borderId="0" xfId="0" applyFont="1" applyFill="1" applyAlignment="1">
      <alignment vertical="center"/>
    </xf>
    <xf numFmtId="0" fontId="6" fillId="2" borderId="0" xfId="0" applyFont="1" applyFill="1" applyAlignment="1">
      <alignment vertical="center"/>
    </xf>
    <xf numFmtId="0" fontId="9" fillId="0" borderId="0" xfId="0" applyFont="1"/>
    <xf numFmtId="0" fontId="9" fillId="0" borderId="0" xfId="0" quotePrefix="1" applyFont="1"/>
    <xf numFmtId="0" fontId="4" fillId="0" borderId="0" xfId="0" applyFont="1" applyAlignment="1">
      <alignment vertical="top" wrapText="1"/>
    </xf>
    <xf numFmtId="0" fontId="4" fillId="0" borderId="0" xfId="0" applyFont="1" applyAlignment="1">
      <alignment horizontal="justify" vertical="top" wrapText="1"/>
    </xf>
    <xf numFmtId="0" fontId="0" fillId="0" borderId="0" xfId="0" pivotButton="1"/>
    <xf numFmtId="0" fontId="0" fillId="0" borderId="0" xfId="0" applyAlignment="1">
      <alignment horizontal="left"/>
    </xf>
    <xf numFmtId="0" fontId="0" fillId="0" borderId="0" xfId="0" applyFill="1"/>
    <xf numFmtId="0" fontId="0" fillId="0" borderId="13" xfId="0" applyBorder="1"/>
    <xf numFmtId="0" fontId="0" fillId="0" borderId="14" xfId="0" applyBorder="1"/>
    <xf numFmtId="0" fontId="0" fillId="0" borderId="12" xfId="0" applyBorder="1"/>
    <xf numFmtId="0" fontId="10" fillId="0" borderId="12" xfId="0" applyFont="1" applyFill="1" applyBorder="1" applyAlignment="1">
      <alignment horizontal="center"/>
    </xf>
    <xf numFmtId="0" fontId="0" fillId="4" borderId="12" xfId="0" applyFill="1" applyBorder="1" applyAlignment="1">
      <alignment horizontal="center"/>
    </xf>
    <xf numFmtId="0" fontId="2" fillId="4" borderId="12" xfId="0" applyFont="1" applyFill="1" applyBorder="1" applyAlignment="1">
      <alignment horizontal="center"/>
    </xf>
    <xf numFmtId="0" fontId="0" fillId="4" borderId="12" xfId="0" applyFill="1" applyBorder="1"/>
    <xf numFmtId="0" fontId="10" fillId="0" borderId="15" xfId="0" applyFont="1" applyFill="1" applyBorder="1" applyAlignment="1">
      <alignment horizontal="center"/>
    </xf>
    <xf numFmtId="0" fontId="3" fillId="2" borderId="0" xfId="0" applyFont="1" applyFill="1" applyAlignment="1">
      <alignment vertical="center"/>
    </xf>
    <xf numFmtId="0" fontId="1" fillId="2" borderId="5" xfId="0" applyFont="1" applyFill="1" applyBorder="1" applyAlignment="1">
      <alignment horizontal="left" vertical="top" wrapText="1"/>
    </xf>
    <xf numFmtId="0" fontId="1" fillId="2" borderId="0" xfId="0" applyFont="1" applyFill="1" applyBorder="1" applyAlignment="1">
      <alignment horizontal="left" vertical="top" wrapText="1"/>
    </xf>
    <xf numFmtId="0" fontId="5" fillId="2" borderId="0" xfId="0" applyFont="1" applyFill="1" applyAlignment="1">
      <alignment horizontal="left" vertical="center"/>
    </xf>
    <xf numFmtId="0" fontId="7" fillId="3" borderId="0" xfId="0" applyFont="1" applyFill="1" applyAlignment="1">
      <alignment horizontal="left" vertical="center" indent="1"/>
    </xf>
    <xf numFmtId="0" fontId="5" fillId="2" borderId="1" xfId="0" applyFont="1" applyFill="1" applyBorder="1" applyAlignment="1">
      <alignment horizontal="left" vertical="center"/>
    </xf>
    <xf numFmtId="0" fontId="5" fillId="2" borderId="2" xfId="0" applyFont="1" applyFill="1" applyBorder="1" applyAlignment="1">
      <alignment horizontal="left" vertical="center"/>
    </xf>
    <xf numFmtId="0" fontId="5" fillId="2" borderId="3" xfId="0" applyFont="1" applyFill="1" applyBorder="1" applyAlignment="1">
      <alignment horizontal="left" vertical="center"/>
    </xf>
    <xf numFmtId="0" fontId="2" fillId="2" borderId="0" xfId="0" applyFont="1" applyFill="1" applyAlignment="1">
      <alignment horizontal="left"/>
    </xf>
    <xf numFmtId="0" fontId="2" fillId="2" borderId="1" xfId="0" applyFont="1" applyFill="1" applyBorder="1" applyAlignment="1">
      <alignment horizontal="right"/>
    </xf>
    <xf numFmtId="0" fontId="2" fillId="2" borderId="2" xfId="0" applyFont="1" applyFill="1" applyBorder="1" applyAlignment="1">
      <alignment horizontal="right"/>
    </xf>
    <xf numFmtId="0" fontId="2" fillId="2" borderId="3" xfId="0" applyFont="1" applyFill="1" applyBorder="1" applyAlignment="1">
      <alignment horizontal="right"/>
    </xf>
    <xf numFmtId="0" fontId="2" fillId="2" borderId="4" xfId="0" applyFont="1" applyFill="1" applyBorder="1" applyAlignment="1">
      <alignment horizontal="left" vertical="top"/>
    </xf>
    <xf numFmtId="0" fontId="2" fillId="2" borderId="5" xfId="0" applyFont="1" applyFill="1" applyBorder="1" applyAlignment="1">
      <alignment horizontal="left" vertical="top"/>
    </xf>
    <xf numFmtId="0" fontId="2" fillId="2" borderId="6" xfId="0" applyFont="1" applyFill="1" applyBorder="1" applyAlignment="1">
      <alignment horizontal="left" vertical="top"/>
    </xf>
    <xf numFmtId="0" fontId="2" fillId="2" borderId="7" xfId="0" applyFont="1" applyFill="1" applyBorder="1" applyAlignment="1">
      <alignment horizontal="left" vertical="top"/>
    </xf>
    <xf numFmtId="0" fontId="2" fillId="2" borderId="0" xfId="0" applyFont="1" applyFill="1" applyBorder="1" applyAlignment="1">
      <alignment horizontal="left" vertical="top"/>
    </xf>
    <xf numFmtId="0" fontId="2" fillId="2" borderId="8" xfId="0" applyFont="1" applyFill="1" applyBorder="1" applyAlignment="1">
      <alignment horizontal="left" vertical="top"/>
    </xf>
    <xf numFmtId="0" fontId="2" fillId="2" borderId="9" xfId="0" applyFont="1" applyFill="1" applyBorder="1" applyAlignment="1">
      <alignment horizontal="left" vertical="top"/>
    </xf>
    <xf numFmtId="0" fontId="2" fillId="2" borderId="10" xfId="0" applyFont="1" applyFill="1" applyBorder="1" applyAlignment="1">
      <alignment horizontal="left" vertical="top"/>
    </xf>
    <xf numFmtId="0" fontId="2" fillId="2" borderId="11" xfId="0" applyFont="1" applyFill="1" applyBorder="1" applyAlignment="1">
      <alignment horizontal="left" vertical="top"/>
    </xf>
    <xf numFmtId="14" fontId="2" fillId="2" borderId="1" xfId="0" applyNumberFormat="1" applyFont="1" applyFill="1" applyBorder="1" applyAlignment="1">
      <alignment horizontal="right"/>
    </xf>
    <xf numFmtId="0" fontId="11" fillId="2" borderId="0" xfId="0" applyFont="1" applyFill="1" applyAlignment="1">
      <alignment vertical="center"/>
    </xf>
  </cellXfs>
  <cellStyles count="1">
    <cellStyle name="Normal" xfId="0" builtinId="0"/>
  </cellStyles>
  <dxfs count="6">
    <dxf>
      <font>
        <b/>
        <i val="0"/>
        <color theme="1"/>
      </font>
    </dxf>
    <dxf>
      <border outline="0">
        <top style="thin">
          <color theme="0" tint="-0.499984740745262"/>
        </top>
      </border>
    </dxf>
    <dxf>
      <border outline="0">
        <bottom style="thin">
          <color theme="0" tint="-0.499984740745262"/>
        </bottom>
      </border>
    </dxf>
    <dxf>
      <font>
        <b/>
        <i val="0"/>
        <strike val="0"/>
        <condense val="0"/>
        <extend val="0"/>
        <outline val="0"/>
        <shadow val="0"/>
        <u val="none"/>
        <vertAlign val="baseline"/>
        <sz val="11"/>
        <color theme="1"/>
        <name val="Segoe UI"/>
        <family val="2"/>
        <scheme val="none"/>
      </font>
      <fill>
        <patternFill patternType="none">
          <fgColor indexed="64"/>
          <bgColor indexed="65"/>
        </patternFill>
      </fill>
      <alignment horizontal="center" vertical="bottom" textRotation="0" wrapText="0" indent="0" justifyLastLine="0" shrinkToFit="0" readingOrder="0"/>
      <border diagonalUp="0" diagonalDown="0" outline="0">
        <left style="thin">
          <color theme="0" tint="-0.499984740745262"/>
        </left>
        <right style="thin">
          <color theme="0" tint="-0.499984740745262"/>
        </right>
        <top/>
        <bottom/>
      </border>
    </dxf>
    <dxf>
      <font>
        <b/>
        <color theme="1"/>
      </font>
      <border>
        <bottom style="thin">
          <color theme="4"/>
        </bottom>
        <vertical/>
        <horizontal/>
      </border>
    </dxf>
    <dxf>
      <font>
        <color theme="1"/>
      </font>
      <border>
        <left/>
        <right/>
        <top/>
        <bottom/>
        <vertical/>
        <horizontal/>
      </border>
    </dxf>
  </dxfs>
  <tableStyles count="1" defaultTableStyle="TableStyleMedium2" defaultPivotStyle="PivotStyleLight16">
    <tableStyle name="SlicerStyleLight1 2" pivot="0" table="0" count="10" xr9:uid="{C70351D3-0AB9-47F5-960F-AF8AAE5601E3}">
      <tableStyleElement type="wholeTable" dxfId="5"/>
      <tableStyleElement type="headerRow" dxfId="4"/>
    </tableStyle>
  </tableStyles>
  <colors>
    <mruColors>
      <color rgb="FFF7F7F7"/>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6/relationships/vbaProject" Target="vbaProject.bin"/><Relationship Id="rId5" Type="http://schemas.openxmlformats.org/officeDocument/2006/relationships/pivotCacheDefinition" Target="pivotCache/pivotCacheDefinition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Database!$C$10</c:f>
              <c:strCache>
                <c:ptCount val="1"/>
              </c:strCache>
            </c:strRef>
          </c:tx>
          <c:spPr>
            <a:solidFill>
              <a:schemeClr val="accent1"/>
            </a:solidFill>
            <a:ln>
              <a:noFill/>
            </a:ln>
            <a:effectLst/>
          </c:spPr>
          <c:invertIfNegative val="0"/>
          <c:val>
            <c:numRef>
              <c:f>Database!$C$11:$C$14</c:f>
              <c:numCache>
                <c:formatCode>General</c:formatCode>
                <c:ptCount val="4"/>
                <c:pt idx="0">
                  <c:v>0</c:v>
                </c:pt>
                <c:pt idx="1">
                  <c:v>40000000</c:v>
                </c:pt>
                <c:pt idx="2">
                  <c:v>100000</c:v>
                </c:pt>
                <c:pt idx="3">
                  <c:v>0</c:v>
                </c:pt>
              </c:numCache>
            </c:numRef>
          </c:val>
          <c:extLst>
            <c:ext xmlns:c16="http://schemas.microsoft.com/office/drawing/2014/chart" uri="{C3380CC4-5D6E-409C-BE32-E72D297353CC}">
              <c16:uniqueId val="{00000000-9867-4236-908D-D4E6CDA34267}"/>
            </c:ext>
          </c:extLst>
        </c:ser>
        <c:dLbls>
          <c:showLegendKey val="0"/>
          <c:showVal val="0"/>
          <c:showCatName val="0"/>
          <c:showSerName val="0"/>
          <c:showPercent val="0"/>
          <c:showBubbleSize val="0"/>
        </c:dLbls>
        <c:gapWidth val="219"/>
        <c:overlap val="-27"/>
        <c:axId val="1252803856"/>
        <c:axId val="1257729152"/>
      </c:barChart>
      <c:catAx>
        <c:axId val="125280385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7729152"/>
        <c:crosses val="autoZero"/>
        <c:auto val="1"/>
        <c:lblAlgn val="ctr"/>
        <c:lblOffset val="100"/>
        <c:noMultiLvlLbl val="0"/>
      </c:catAx>
      <c:valAx>
        <c:axId val="1257729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28038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REF!"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7</xdr:col>
      <xdr:colOff>46566</xdr:colOff>
      <xdr:row>8</xdr:row>
      <xdr:rowOff>67733</xdr:rowOff>
    </xdr:from>
    <xdr:to>
      <xdr:col>14</xdr:col>
      <xdr:colOff>352425</xdr:colOff>
      <xdr:row>22</xdr:row>
      <xdr:rowOff>141817</xdr:rowOff>
    </xdr:to>
    <xdr:graphicFrame macro="">
      <xdr:nvGraphicFramePr>
        <xdr:cNvPr id="2" name="Chart 1">
          <a:extLst>
            <a:ext uri="{FF2B5EF4-FFF2-40B4-BE49-F238E27FC236}">
              <a16:creationId xmlns:a16="http://schemas.microsoft.com/office/drawing/2014/main" id="{38C9862A-7BFB-4817-B575-0A2305BEC7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1405465</xdr:colOff>
      <xdr:row>10</xdr:row>
      <xdr:rowOff>0</xdr:rowOff>
    </xdr:from>
    <xdr:to>
      <xdr:col>1</xdr:col>
      <xdr:colOff>2015331</xdr:colOff>
      <xdr:row>11</xdr:row>
      <xdr:rowOff>0</xdr:rowOff>
    </xdr:to>
    <xdr:sp macro="[0]!Wizard.GoNext" textlink="">
      <xdr:nvSpPr>
        <xdr:cNvPr id="2" name="Rectangle 1">
          <a:extLst>
            <a:ext uri="{FF2B5EF4-FFF2-40B4-BE49-F238E27FC236}">
              <a16:creationId xmlns:a16="http://schemas.microsoft.com/office/drawing/2014/main" id="{00000000-0008-0000-0100-000002000000}"/>
            </a:ext>
          </a:extLst>
        </xdr:cNvPr>
        <xdr:cNvSpPr/>
      </xdr:nvSpPr>
      <xdr:spPr>
        <a:xfrm>
          <a:off x="1657350" y="2114550"/>
          <a:ext cx="609600" cy="209550"/>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000" b="1">
              <a:solidFill>
                <a:schemeClr val="tx1"/>
              </a:solidFill>
            </a:rPr>
            <a:t>Next &gt;</a:t>
          </a:r>
        </a:p>
      </xdr:txBody>
    </xdr:sp>
    <xdr:clientData/>
  </xdr:twoCellAnchor>
  <xdr:twoCellAnchor editAs="absolute">
    <xdr:from>
      <xdr:col>1</xdr:col>
      <xdr:colOff>719665</xdr:colOff>
      <xdr:row>10</xdr:row>
      <xdr:rowOff>0</xdr:rowOff>
    </xdr:from>
    <xdr:to>
      <xdr:col>1</xdr:col>
      <xdr:colOff>1329265</xdr:colOff>
      <xdr:row>11</xdr:row>
      <xdr:rowOff>0</xdr:rowOff>
    </xdr:to>
    <xdr:sp macro="[0]!Wizard.GoPrevious" textlink="">
      <xdr:nvSpPr>
        <xdr:cNvPr id="3" name="Rectangle 2">
          <a:extLst>
            <a:ext uri="{FF2B5EF4-FFF2-40B4-BE49-F238E27FC236}">
              <a16:creationId xmlns:a16="http://schemas.microsoft.com/office/drawing/2014/main" id="{00000000-0008-0000-0100-000003000000}"/>
            </a:ext>
          </a:extLst>
        </xdr:cNvPr>
        <xdr:cNvSpPr/>
      </xdr:nvSpPr>
      <xdr:spPr>
        <a:xfrm>
          <a:off x="971550" y="2114550"/>
          <a:ext cx="609600" cy="209550"/>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000" b="1">
              <a:solidFill>
                <a:schemeClr val="tx1"/>
              </a:solidFill>
            </a:rPr>
            <a:t>&lt;</a:t>
          </a:r>
          <a:r>
            <a:rPr lang="en-US" sz="1000" b="1" baseline="0">
              <a:solidFill>
                <a:schemeClr val="tx1"/>
              </a:solidFill>
            </a:rPr>
            <a:t> </a:t>
          </a:r>
          <a:r>
            <a:rPr lang="en-US" sz="1000" b="1">
              <a:solidFill>
                <a:schemeClr val="tx1"/>
              </a:solidFill>
            </a:rPr>
            <a:t>Back</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148165</xdr:colOff>
          <xdr:row>1</xdr:row>
          <xdr:rowOff>0</xdr:rowOff>
        </xdr:to>
        <xdr:sp macro="" textlink="">
          <xdr:nvSpPr>
            <xdr:cNvPr id="1047" name="Check1" hidden="1">
              <a:extLst>
                <a:ext uri="{63B3BB69-23CF-44E3-9099-C40C66FF867C}">
                  <a14:compatExt spid="_x0000_s1047"/>
                </a:ext>
                <a:ext uri="{FF2B5EF4-FFF2-40B4-BE49-F238E27FC236}">
                  <a16:creationId xmlns:a16="http://schemas.microsoft.com/office/drawing/2014/main" id="{00000000-0008-0000-01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10</xdr:col>
      <xdr:colOff>592667</xdr:colOff>
      <xdr:row>2</xdr:row>
      <xdr:rowOff>122766</xdr:rowOff>
    </xdr:from>
    <xdr:to>
      <xdr:col>13</xdr:col>
      <xdr:colOff>452967</xdr:colOff>
      <xdr:row>9</xdr:row>
      <xdr:rowOff>122767</xdr:rowOff>
    </xdr:to>
    <mc:AlternateContent xmlns:mc="http://schemas.openxmlformats.org/markup-compatibility/2006" xmlns:a14="http://schemas.microsoft.com/office/drawing/2010/main">
      <mc:Choice Requires="a14">
        <xdr:graphicFrame macro="">
          <xdr:nvGraphicFramePr>
            <xdr:cNvPr id="16" name="Options Table">
              <a:extLst>
                <a:ext uri="{FF2B5EF4-FFF2-40B4-BE49-F238E27FC236}">
                  <a16:creationId xmlns:a16="http://schemas.microsoft.com/office/drawing/2014/main" id="{00000000-0008-0000-0100-000010000000}"/>
                </a:ext>
              </a:extLst>
            </xdr:cNvPr>
            <xdr:cNvGraphicFramePr/>
          </xdr:nvGraphicFramePr>
          <xdr:xfrm>
            <a:off x="0" y="0"/>
            <a:ext cx="0" cy="0"/>
          </xdr:xfrm>
          <a:graphic>
            <a:graphicData uri="http://schemas.microsoft.com/office/drawing/2010/slicer">
              <sle:slicer xmlns:sle="http://schemas.microsoft.com/office/drawing/2010/slicer" name="Options Table"/>
            </a:graphicData>
          </a:graphic>
        </xdr:graphicFrame>
      </mc:Choice>
      <mc:Fallback xmlns="">
        <xdr:sp macro="" textlink="">
          <xdr:nvSpPr>
            <xdr:cNvPr id="0" name=""/>
            <xdr:cNvSpPr>
              <a:spLocks noTextEdit="1"/>
            </xdr:cNvSpPr>
          </xdr:nvSpPr>
          <xdr:spPr>
            <a:xfrm>
              <a:off x="3318933" y="647699"/>
              <a:ext cx="0" cy="14859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39158</xdr:colOff>
      <xdr:row>5</xdr:row>
      <xdr:rowOff>193675</xdr:rowOff>
    </xdr:from>
    <xdr:to>
      <xdr:col>20</xdr:col>
      <xdr:colOff>416984</xdr:colOff>
      <xdr:row>7</xdr:row>
      <xdr:rowOff>203200</xdr:rowOff>
    </xdr:to>
    <xdr:sp macro="[0]!Wizard.SaveAndStartOver" textlink="">
      <xdr:nvSpPr>
        <xdr:cNvPr id="4" name="Rectangle 3">
          <a:extLst>
            <a:ext uri="{FF2B5EF4-FFF2-40B4-BE49-F238E27FC236}">
              <a16:creationId xmlns:a16="http://schemas.microsoft.com/office/drawing/2014/main" id="{03E67541-2BDD-40A2-BF35-B3B177D894F3}"/>
            </a:ext>
          </a:extLst>
        </xdr:cNvPr>
        <xdr:cNvSpPr/>
      </xdr:nvSpPr>
      <xdr:spPr>
        <a:xfrm>
          <a:off x="3726391" y="1362075"/>
          <a:ext cx="2206626" cy="43285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Save and start</a:t>
          </a:r>
          <a:r>
            <a:rPr lang="en-US" sz="1100" baseline="0"/>
            <a:t> over</a:t>
          </a:r>
          <a:endParaRPr lang="en-US" sz="1100"/>
        </a:p>
      </xdr:txBody>
    </xdr:sp>
    <xdr:clientData/>
  </xdr:twoCellAnchor>
  <xdr:twoCellAnchor>
    <xdr:from>
      <xdr:col>17</xdr:col>
      <xdr:colOff>19051</xdr:colOff>
      <xdr:row>8</xdr:row>
      <xdr:rowOff>114300</xdr:rowOff>
    </xdr:from>
    <xdr:to>
      <xdr:col>20</xdr:col>
      <xdr:colOff>423334</xdr:colOff>
      <xdr:row>10</xdr:row>
      <xdr:rowOff>174625</xdr:rowOff>
    </xdr:to>
    <xdr:sp macro="[0]!Wizard.SaveAndExit" textlink="">
      <xdr:nvSpPr>
        <xdr:cNvPr id="5" name="Rectangle 4">
          <a:extLst>
            <a:ext uri="{FF2B5EF4-FFF2-40B4-BE49-F238E27FC236}">
              <a16:creationId xmlns:a16="http://schemas.microsoft.com/office/drawing/2014/main" id="{5AF615D1-02AD-42E6-BC22-22D073C16A0F}"/>
            </a:ext>
          </a:extLst>
        </xdr:cNvPr>
        <xdr:cNvSpPr/>
      </xdr:nvSpPr>
      <xdr:spPr>
        <a:xfrm>
          <a:off x="3706284" y="1926167"/>
          <a:ext cx="2233083" cy="50059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Save and exit</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rdan Goldmeier" refreshedDate="43700.579985069446" createdVersion="6" refreshedVersion="6" minRefreshableVersion="3" recordCount="4" xr:uid="{05C4A020-78D9-459D-9B13-A117F5C7B310}">
  <cacheSource type="worksheet">
    <worksheetSource name="OptionsTable[Options Table]"/>
  </cacheSource>
  <cacheFields count="1">
    <cacheField name="Options Table" numFmtId="0">
      <sharedItems count="4">
        <s v="Option 1"/>
        <s v="Option 2"/>
        <s v="Option 3"/>
        <s v="Option 4"/>
      </sharedItems>
    </cacheField>
  </cacheFields>
  <extLst>
    <ext xmlns:x14="http://schemas.microsoft.com/office/spreadsheetml/2009/9/main" uri="{725AE2AE-9491-48be-B2B4-4EB974FC3084}">
      <x14:pivotCacheDefinition pivotCacheId="133832458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x v="0"/>
  </r>
  <r>
    <x v="1"/>
  </r>
  <r>
    <x v="2"/>
  </r>
  <r>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9A8B4BD-884E-43BF-8529-6B0C1245FC9F}" name="PivotTable1" cacheId="1"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location ref="H1:H2" firstHeaderRow="1" firstDataRow="1" firstDataCol="1"/>
  <pivotFields count="1">
    <pivotField axis="axisRow" showAll="0">
      <items count="5">
        <item h="1" x="0"/>
        <item h="1" x="1"/>
        <item h="1" x="2"/>
        <item x="3"/>
        <item t="default"/>
      </items>
    </pivotField>
  </pivotFields>
  <rowFields count="1">
    <field x="0"/>
  </rowFields>
  <rowItems count="1">
    <i>
      <x v="3"/>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ptions_Table" xr10:uid="{6FEAAA31-FD9E-44A1-B241-B0C61C14E44A}" sourceName="Options Table">
  <pivotTables>
    <pivotTable tabId="2" name="PivotTable1"/>
  </pivotTables>
  <data>
    <tabular pivotCacheId="1338324588" showMissing="0" crossFilter="none">
      <items count="4">
        <i x="0"/>
        <i x="1"/>
        <i x="2"/>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ptions Table" xr10:uid="{D070238F-21E5-4C4B-B84E-0F9A4168C808}" cache="Slicer_Options_Table" caption="Options Table" showCaption="0" style="SlicerStyleLight1 2" rowHeight="237771"/>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3890BE9-1EDD-4F96-B59F-2BF49AF2FFDF}" name="OptionsTable" displayName="OptionsTable" ref="A1:A5" totalsRowShown="0">
  <autoFilter ref="A1:A5" xr:uid="{74F07E93-F554-4A35-90FD-F8CFD2544F24}"/>
  <tableColumns count="1">
    <tableColumn id="1" xr3:uid="{BE544D4C-E81C-48AB-8DBB-63E05FE1771D}" name="Options Table"/>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02C7680-CB50-4427-BAB3-5453AFBBC4FC}" name="Database" displayName="Database" ref="A9:F14" totalsRowShown="0" headerRowDxfId="3" headerRowBorderDxfId="2" tableBorderDxfId="1">
  <autoFilter ref="A9:F14" xr:uid="{E24B2D80-2492-48D1-857E-BCA5B0B30FFD}"/>
  <tableColumns count="6">
    <tableColumn id="1" xr3:uid="{A61234E6-0A65-45ED-8E7E-461418095B6C}" name="Id"/>
    <tableColumn id="2" xr3:uid="{70A98984-F733-4F77-91ED-A155F2CCF768}" name="Project Name"/>
    <tableColumn id="3" xr3:uid="{74D372A2-EAC2-4386-9FBA-22C174200E43}" name="Project Budget"/>
    <tableColumn id="4" xr3:uid="{7FA827A3-00BB-48C0-9505-59F0A3690100}" name="Project Begin Date"/>
    <tableColumn id="5" xr3:uid="{217CD401-B461-449E-996D-E041840A66B3}" name="Comment"/>
    <tableColumn id="6" xr3:uid="{9EE32AEB-9578-4F96-82BA-1243B964609C}" name="Option Selectio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microsoft.com/office/2007/relationships/slicer" Target="../slicers/slicer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25318-B733-451C-A34B-D3B53090AC6E}">
  <sheetPr codeName="Frontend"/>
  <dimension ref="A1"/>
  <sheetViews>
    <sheetView showGridLines="0" workbookViewId="0">
      <selection activeCell="B2" sqref="B2"/>
    </sheetView>
  </sheetViews>
  <sheetFormatPr defaultRowHeight="15" x14ac:dyDescent="0.25"/>
  <cols>
    <col min="1" max="1" width="4.28515625" customWidth="1"/>
  </cols>
  <sheetData/>
  <pageMargins left="0.7" right="0.7" top="0.75" bottom="0.75" header="0.3" footer="0.3"/>
  <pageSetup orientation="portrait" horizontalDpi="0" verticalDpi="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izard"/>
  <dimension ref="A1:AE23"/>
  <sheetViews>
    <sheetView tabSelected="1" zoomScaleNormal="100" workbookViewId="0">
      <selection activeCell="U19" sqref="U19"/>
    </sheetView>
  </sheetViews>
  <sheetFormatPr defaultColWidth="9.140625" defaultRowHeight="17.25" zeroHeight="1" x14ac:dyDescent="0.3"/>
  <cols>
    <col min="1" max="1" width="6.5703125" style="2" customWidth="1"/>
    <col min="2" max="2" width="37.140625" style="1" customWidth="1"/>
    <col min="3" max="3" width="2.42578125" style="3" customWidth="1"/>
    <col min="4" max="4" width="3.28515625" style="4" customWidth="1"/>
    <col min="5" max="5" width="9.140625" style="5" customWidth="1"/>
    <col min="6" max="6" width="15.42578125" style="5" customWidth="1"/>
    <col min="7" max="8" width="9.140625" style="5" customWidth="1"/>
    <col min="9" max="9" width="15.28515625" style="5" customWidth="1"/>
    <col min="10" max="10" width="1.7109375" style="5" customWidth="1"/>
    <col min="11" max="15" width="9.140625" style="5" hidden="1" customWidth="1"/>
    <col min="16" max="16" width="18.7109375" style="5" hidden="1" customWidth="1"/>
    <col min="17" max="24" width="9.140625" style="5" hidden="1" customWidth="1"/>
    <col min="25" max="25" width="4.42578125" style="4" customWidth="1"/>
    <col min="26" max="31" width="9.140625" style="5" customWidth="1"/>
    <col min="32" max="16384" width="9.140625" style="6"/>
  </cols>
  <sheetData>
    <row r="1" spans="1:30" x14ac:dyDescent="0.3"/>
    <row r="2" spans="1:30" ht="24" customHeight="1" x14ac:dyDescent="0.3">
      <c r="A2" s="30" t="s">
        <v>0</v>
      </c>
      <c r="B2" s="30"/>
      <c r="E2" s="29" t="str">
        <f>INDEX($B$4:$B$7,Helper.CurrentPageIndex,1)</f>
        <v>1. Introduction</v>
      </c>
      <c r="F2" s="29"/>
      <c r="G2" s="29"/>
      <c r="H2" s="29"/>
      <c r="L2" s="29" t="str">
        <f>INDEX($B$4:$B$7,Helper.CurrentPageIndex,1)</f>
        <v>1. Introduction</v>
      </c>
      <c r="M2" s="29"/>
      <c r="N2" s="29"/>
      <c r="O2" s="29"/>
      <c r="R2" s="29" t="str">
        <f>B6</f>
        <v>3. Summary</v>
      </c>
      <c r="S2" s="29"/>
      <c r="T2" s="29"/>
      <c r="U2" s="29"/>
      <c r="Z2" s="31" t="s">
        <v>3</v>
      </c>
      <c r="AA2" s="32"/>
      <c r="AB2" s="32"/>
      <c r="AC2" s="32"/>
      <c r="AD2" s="33"/>
    </row>
    <row r="3" spans="1:30" ht="17.25" customHeight="1" x14ac:dyDescent="0.3">
      <c r="R3" s="10"/>
      <c r="S3" s="10"/>
      <c r="T3" s="10"/>
      <c r="U3" s="10"/>
      <c r="V3" s="10"/>
      <c r="W3" s="10"/>
      <c r="X3" s="10"/>
      <c r="Z3" s="27" t="str">
        <f>INDEX(Helper.InstructionsTable,Helper.CurrentPageIndex)</f>
        <v>Lorem ipsum dolor sit amet, consectetur adipiscing elit. Donec eu elit posuere lacus congue malesuada. In hac habitasse platea dictumst. Vivamus facilisis viverra scelerisque. Sed in semper est, bibendum euismod massa. Fusce posuere enim ut tempus convallis. Nullam vel cursus libero, quis iaculis leo. Cras non libero sed sem facilisis accumsan a ut urna. Vestibulum sollicitudin feugiat dui at feugiat.</v>
      </c>
      <c r="AA3" s="27"/>
      <c r="AB3" s="27"/>
      <c r="AC3" s="27"/>
      <c r="AD3" s="27"/>
    </row>
    <row r="4" spans="1:30" ht="16.5" customHeight="1" x14ac:dyDescent="0.3">
      <c r="A4" s="7">
        <f>--(--LEFT(B4,1)=Helper.CurrentPageIndex)</f>
        <v>1</v>
      </c>
      <c r="B4" s="9" t="s">
        <v>9</v>
      </c>
      <c r="E4" s="34" t="s">
        <v>11</v>
      </c>
      <c r="F4" s="34"/>
      <c r="G4" s="35"/>
      <c r="H4" s="36"/>
      <c r="I4" s="37"/>
      <c r="R4" s="48" t="s">
        <v>31</v>
      </c>
      <c r="S4" s="10"/>
      <c r="T4" s="10"/>
      <c r="U4" s="10"/>
      <c r="V4" s="10"/>
      <c r="W4" s="10"/>
      <c r="X4" s="10"/>
      <c r="Z4" s="28"/>
      <c r="AA4" s="28"/>
      <c r="AB4" s="28"/>
      <c r="AC4" s="28"/>
      <c r="AD4" s="28"/>
    </row>
    <row r="5" spans="1:30" ht="16.5" customHeight="1" x14ac:dyDescent="0.3">
      <c r="A5" s="7">
        <f>--(--LEFT(B5,1)=Helper.CurrentPageIndex)</f>
        <v>0</v>
      </c>
      <c r="B5" s="9" t="s">
        <v>10</v>
      </c>
      <c r="R5" s="26"/>
      <c r="S5" s="26"/>
      <c r="T5" s="26"/>
      <c r="U5" s="26"/>
      <c r="V5" s="26"/>
      <c r="W5" s="26"/>
      <c r="X5" s="10"/>
      <c r="Z5" s="28"/>
      <c r="AA5" s="28"/>
      <c r="AB5" s="28"/>
      <c r="AC5" s="28"/>
      <c r="AD5" s="28"/>
    </row>
    <row r="6" spans="1:30" ht="16.5" customHeight="1" x14ac:dyDescent="0.3">
      <c r="A6" s="7">
        <f>--(--LEFT(B6,1)=Helper.CurrentPageIndex)</f>
        <v>0</v>
      </c>
      <c r="B6" s="9" t="s">
        <v>18</v>
      </c>
      <c r="E6" s="34" t="s">
        <v>12</v>
      </c>
      <c r="F6" s="34"/>
      <c r="G6" s="35"/>
      <c r="H6" s="36"/>
      <c r="I6" s="37"/>
      <c r="R6" s="26"/>
      <c r="S6" s="26"/>
      <c r="T6" s="26"/>
      <c r="U6" s="26"/>
      <c r="V6" s="26"/>
      <c r="W6" s="26"/>
      <c r="X6" s="10"/>
      <c r="Z6" s="28"/>
      <c r="AA6" s="28"/>
      <c r="AB6" s="28"/>
      <c r="AC6" s="28"/>
      <c r="AD6" s="28"/>
    </row>
    <row r="7" spans="1:30" ht="16.5" customHeight="1" x14ac:dyDescent="0.3">
      <c r="A7" s="7"/>
      <c r="B7" s="9"/>
      <c r="R7" s="26"/>
      <c r="S7" s="26"/>
      <c r="T7" s="26"/>
      <c r="U7" s="26"/>
      <c r="V7" s="26"/>
      <c r="W7" s="26"/>
      <c r="X7" s="10"/>
      <c r="Z7" s="28"/>
      <c r="AA7" s="28"/>
      <c r="AB7" s="28"/>
      <c r="AC7" s="28"/>
      <c r="AD7" s="28"/>
    </row>
    <row r="8" spans="1:30" ht="17.45" customHeight="1" x14ac:dyDescent="0.3">
      <c r="E8" s="34" t="s">
        <v>13</v>
      </c>
      <c r="F8" s="34"/>
      <c r="G8" s="47"/>
      <c r="H8" s="36"/>
      <c r="I8" s="37"/>
      <c r="R8" s="26"/>
      <c r="S8" s="26"/>
      <c r="T8" s="26"/>
      <c r="U8" s="26"/>
      <c r="V8" s="26"/>
      <c r="W8" s="26"/>
      <c r="Z8" s="28"/>
      <c r="AA8" s="28"/>
      <c r="AB8" s="28"/>
      <c r="AC8" s="28"/>
      <c r="AD8" s="28"/>
    </row>
    <row r="9" spans="1:30" ht="17.45" customHeight="1" x14ac:dyDescent="0.3">
      <c r="R9" s="26"/>
      <c r="S9" s="26"/>
      <c r="T9" s="26"/>
      <c r="U9" s="26"/>
      <c r="V9" s="26"/>
      <c r="W9" s="26"/>
      <c r="Z9" s="28"/>
      <c r="AA9" s="28"/>
      <c r="AB9" s="28"/>
      <c r="AC9" s="28"/>
      <c r="AD9" s="28"/>
    </row>
    <row r="10" spans="1:30" ht="17.45" customHeight="1" x14ac:dyDescent="0.3">
      <c r="E10" s="5" t="s">
        <v>14</v>
      </c>
      <c r="G10" s="38"/>
      <c r="H10" s="39"/>
      <c r="I10" s="40"/>
      <c r="R10" s="26"/>
      <c r="S10" s="26"/>
      <c r="T10" s="26"/>
      <c r="U10" s="26"/>
      <c r="V10" s="26"/>
      <c r="W10" s="26"/>
      <c r="Z10" s="28"/>
      <c r="AA10" s="28"/>
      <c r="AB10" s="28"/>
      <c r="AC10" s="28"/>
      <c r="AD10" s="28"/>
    </row>
    <row r="11" spans="1:30" ht="17.45" customHeight="1" x14ac:dyDescent="0.3">
      <c r="G11" s="41"/>
      <c r="H11" s="42"/>
      <c r="I11" s="43"/>
      <c r="R11" s="26"/>
      <c r="S11" s="26"/>
      <c r="T11" s="26"/>
      <c r="U11" s="26"/>
      <c r="V11" s="26"/>
      <c r="W11" s="26"/>
      <c r="Z11" s="28"/>
      <c r="AA11" s="28"/>
      <c r="AB11" s="28"/>
      <c r="AC11" s="28"/>
      <c r="AD11" s="28"/>
    </row>
    <row r="12" spans="1:30" x14ac:dyDescent="0.3">
      <c r="G12" s="41"/>
      <c r="H12" s="42"/>
      <c r="I12" s="43"/>
      <c r="R12" s="26"/>
      <c r="S12" s="26"/>
      <c r="T12" s="26"/>
      <c r="U12" s="26"/>
      <c r="V12" s="26"/>
      <c r="W12" s="26"/>
      <c r="Z12" s="28"/>
      <c r="AA12" s="28"/>
      <c r="AB12" s="28"/>
      <c r="AC12" s="28"/>
      <c r="AD12" s="28"/>
    </row>
    <row r="13" spans="1:30" x14ac:dyDescent="0.3">
      <c r="B13" s="8" t="str">
        <f>"Page " &amp; Helper.CurrentPageIndex</f>
        <v>Page 1</v>
      </c>
      <c r="G13" s="41"/>
      <c r="H13" s="42"/>
      <c r="I13" s="43"/>
      <c r="R13" s="26"/>
      <c r="S13" s="26"/>
      <c r="T13" s="26"/>
      <c r="U13" s="26"/>
      <c r="V13" s="26"/>
      <c r="W13" s="26"/>
      <c r="Z13" s="28"/>
      <c r="AA13" s="28"/>
      <c r="AB13" s="28"/>
      <c r="AC13" s="28"/>
      <c r="AD13" s="28"/>
    </row>
    <row r="14" spans="1:30" x14ac:dyDescent="0.3">
      <c r="G14" s="41"/>
      <c r="H14" s="42"/>
      <c r="I14" s="43"/>
      <c r="R14" s="26"/>
      <c r="S14" s="26"/>
      <c r="T14" s="26"/>
      <c r="U14" s="26"/>
      <c r="V14" s="26"/>
      <c r="W14" s="26"/>
      <c r="Z14" s="28"/>
      <c r="AA14" s="28"/>
      <c r="AB14" s="28"/>
      <c r="AC14" s="28"/>
      <c r="AD14" s="28"/>
    </row>
    <row r="15" spans="1:30" x14ac:dyDescent="0.3">
      <c r="G15" s="41"/>
      <c r="H15" s="42"/>
      <c r="I15" s="43"/>
      <c r="R15" s="26"/>
      <c r="S15" s="26"/>
      <c r="T15" s="26"/>
      <c r="U15" s="26"/>
      <c r="V15" s="26"/>
      <c r="W15" s="26"/>
      <c r="Z15" s="28"/>
      <c r="AA15" s="28"/>
      <c r="AB15" s="28"/>
      <c r="AC15" s="28"/>
      <c r="AD15" s="28"/>
    </row>
    <row r="16" spans="1:30" x14ac:dyDescent="0.3">
      <c r="G16" s="41"/>
      <c r="H16" s="42"/>
      <c r="I16" s="43"/>
      <c r="R16" s="26"/>
      <c r="S16" s="26"/>
      <c r="T16" s="26"/>
      <c r="U16" s="26"/>
      <c r="V16" s="26"/>
      <c r="W16" s="26"/>
      <c r="Z16" s="28"/>
      <c r="AA16" s="28"/>
      <c r="AB16" s="28"/>
      <c r="AC16" s="28"/>
      <c r="AD16" s="28"/>
    </row>
    <row r="17" spans="7:30" x14ac:dyDescent="0.3">
      <c r="G17" s="41"/>
      <c r="H17" s="42"/>
      <c r="I17" s="43"/>
      <c r="R17" s="26"/>
      <c r="S17" s="26"/>
      <c r="T17" s="26"/>
      <c r="U17" s="26"/>
      <c r="V17" s="26"/>
      <c r="W17" s="26"/>
      <c r="Z17" s="28"/>
      <c r="AA17" s="28"/>
      <c r="AB17" s="28"/>
      <c r="AC17" s="28"/>
      <c r="AD17" s="28"/>
    </row>
    <row r="18" spans="7:30" x14ac:dyDescent="0.3">
      <c r="G18" s="44"/>
      <c r="H18" s="45"/>
      <c r="I18" s="46"/>
      <c r="R18" s="26"/>
      <c r="S18" s="26"/>
      <c r="T18" s="26"/>
      <c r="U18" s="26"/>
      <c r="V18" s="26"/>
      <c r="W18" s="26"/>
      <c r="Z18" s="28"/>
      <c r="AA18" s="28"/>
      <c r="AB18" s="28"/>
      <c r="AC18" s="28"/>
      <c r="AD18" s="28"/>
    </row>
    <row r="19" spans="7:30" x14ac:dyDescent="0.3">
      <c r="R19" s="26"/>
      <c r="S19" s="26"/>
      <c r="T19" s="26"/>
      <c r="U19" s="26"/>
      <c r="V19" s="26"/>
      <c r="W19" s="26"/>
      <c r="Z19" s="28"/>
      <c r="AA19" s="28"/>
      <c r="AB19" s="28"/>
      <c r="AC19" s="28"/>
      <c r="AD19" s="28"/>
    </row>
    <row r="20" spans="7:30" x14ac:dyDescent="0.3">
      <c r="R20" s="26"/>
      <c r="S20" s="26"/>
      <c r="T20" s="26"/>
      <c r="U20" s="26"/>
      <c r="V20" s="26"/>
      <c r="W20" s="26"/>
      <c r="Z20" s="28"/>
      <c r="AA20" s="28"/>
      <c r="AB20" s="28"/>
      <c r="AC20" s="28"/>
      <c r="AD20" s="28"/>
    </row>
    <row r="21" spans="7:30" x14ac:dyDescent="0.3">
      <c r="R21" s="26"/>
      <c r="S21" s="26"/>
      <c r="T21" s="26"/>
      <c r="U21" s="26"/>
      <c r="V21" s="26"/>
      <c r="W21" s="26"/>
    </row>
    <row r="22" spans="7:30" x14ac:dyDescent="0.3"/>
    <row r="23" spans="7:30" x14ac:dyDescent="0.3"/>
  </sheetData>
  <mergeCells count="13">
    <mergeCell ref="Z3:AD20"/>
    <mergeCell ref="L2:O2"/>
    <mergeCell ref="A2:B2"/>
    <mergeCell ref="Z2:AD2"/>
    <mergeCell ref="E2:H2"/>
    <mergeCell ref="E4:F4"/>
    <mergeCell ref="E6:F6"/>
    <mergeCell ref="E8:F8"/>
    <mergeCell ref="G4:I4"/>
    <mergeCell ref="G6:I6"/>
    <mergeCell ref="G8:I8"/>
    <mergeCell ref="G10:I18"/>
    <mergeCell ref="R2:U2"/>
  </mergeCells>
  <conditionalFormatting sqref="B4:B6">
    <cfRule type="expression" dxfId="0" priority="1">
      <formula>($A4=1)</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7" r:id="rId4" name="Check1">
              <controlPr defaultSize="0" autoFill="0" autoLine="0" autoPict="0">
                <anchor moveWithCells="1">
                  <from>
                    <xdr:col>0</xdr:col>
                    <xdr:colOff>0</xdr:colOff>
                    <xdr:row>0</xdr:row>
                    <xdr:rowOff>0</xdr:rowOff>
                  </from>
                  <to>
                    <xdr:col>0</xdr:col>
                    <xdr:colOff>133350</xdr:colOff>
                    <xdr:row>1</xdr:row>
                    <xdr:rowOff>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er"/>
  <dimension ref="A1:H15"/>
  <sheetViews>
    <sheetView workbookViewId="0">
      <selection activeCell="B9" sqref="B9"/>
    </sheetView>
  </sheetViews>
  <sheetFormatPr defaultRowHeight="15" x14ac:dyDescent="0.25"/>
  <cols>
    <col min="1" max="1" width="31.7109375" customWidth="1"/>
    <col min="8" max="8" width="13.140625" bestFit="1" customWidth="1"/>
  </cols>
  <sheetData>
    <row r="1" spans="1:8" x14ac:dyDescent="0.25">
      <c r="A1" t="s">
        <v>23</v>
      </c>
      <c r="H1" s="15" t="s">
        <v>24</v>
      </c>
    </row>
    <row r="2" spans="1:8" x14ac:dyDescent="0.25">
      <c r="A2" t="s">
        <v>19</v>
      </c>
      <c r="H2" s="16" t="s">
        <v>22</v>
      </c>
    </row>
    <row r="3" spans="1:8" x14ac:dyDescent="0.25">
      <c r="A3" t="s">
        <v>20</v>
      </c>
    </row>
    <row r="4" spans="1:8" x14ac:dyDescent="0.25">
      <c r="A4" t="s">
        <v>21</v>
      </c>
    </row>
    <row r="5" spans="1:8" x14ac:dyDescent="0.25">
      <c r="A5" t="s">
        <v>22</v>
      </c>
    </row>
    <row r="7" spans="1:8" x14ac:dyDescent="0.25">
      <c r="A7" t="s">
        <v>1</v>
      </c>
      <c r="B7">
        <v>1</v>
      </c>
      <c r="C7" s="12" t="s">
        <v>15</v>
      </c>
    </row>
    <row r="8" spans="1:8" x14ac:dyDescent="0.25">
      <c r="A8" t="s">
        <v>2</v>
      </c>
      <c r="B8">
        <v>3</v>
      </c>
      <c r="C8" s="11" t="s">
        <v>16</v>
      </c>
    </row>
    <row r="9" spans="1:8" x14ac:dyDescent="0.25">
      <c r="A9" t="s">
        <v>17</v>
      </c>
      <c r="B9">
        <f>--RIGHT(Helper.SelectionOptionFromTable,1)</f>
        <v>4</v>
      </c>
    </row>
    <row r="11" spans="1:8" x14ac:dyDescent="0.25">
      <c r="A11" t="s">
        <v>4</v>
      </c>
    </row>
    <row r="12" spans="1:8" ht="112.5" x14ac:dyDescent="0.25">
      <c r="A12" s="13" t="s">
        <v>5</v>
      </c>
    </row>
    <row r="13" spans="1:8" ht="90" x14ac:dyDescent="0.25">
      <c r="A13" s="14" t="s">
        <v>6</v>
      </c>
    </row>
    <row r="14" spans="1:8" ht="135" x14ac:dyDescent="0.25">
      <c r="A14" s="14" t="s">
        <v>7</v>
      </c>
    </row>
    <row r="15" spans="1:8" ht="168.75" x14ac:dyDescent="0.25">
      <c r="A15" s="13" t="s">
        <v>8</v>
      </c>
    </row>
  </sheetData>
  <pageMargins left="0.7" right="0.7" top="0.75" bottom="0.75" header="0.3" footer="0.3"/>
  <pageSetup orientation="portrait" horizontalDpi="0" verticalDpi="0"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B6322-F210-4412-A47F-AC6410B5D0AB}">
  <sheetPr codeName="Database"/>
  <dimension ref="A1:H14"/>
  <sheetViews>
    <sheetView zoomScale="140" zoomScaleNormal="140" workbookViewId="0">
      <selection activeCell="B14" sqref="B14"/>
    </sheetView>
  </sheetViews>
  <sheetFormatPr defaultRowHeight="15" x14ac:dyDescent="0.25"/>
  <cols>
    <col min="1" max="1" width="18.7109375" customWidth="1"/>
    <col min="2" max="2" width="21.42578125" customWidth="1"/>
    <col min="3" max="3" width="24.7109375" customWidth="1"/>
    <col min="4" max="4" width="25" customWidth="1"/>
    <col min="5" max="5" width="16.28515625" customWidth="1"/>
    <col min="6" max="6" width="19" customWidth="1"/>
  </cols>
  <sheetData>
    <row r="1" spans="1:8" ht="16.5" x14ac:dyDescent="0.3">
      <c r="A1" s="21" t="s">
        <v>25</v>
      </c>
      <c r="B1" s="21" t="s">
        <v>11</v>
      </c>
      <c r="C1" s="21" t="s">
        <v>12</v>
      </c>
      <c r="D1" s="21" t="s">
        <v>13</v>
      </c>
      <c r="E1" s="21" t="s">
        <v>14</v>
      </c>
      <c r="F1" s="21" t="s">
        <v>26</v>
      </c>
      <c r="G1" s="17"/>
      <c r="H1" s="17"/>
    </row>
    <row r="2" spans="1:8" ht="16.5" x14ac:dyDescent="0.3">
      <c r="A2" s="22"/>
      <c r="B2" s="23">
        <f>Wizard.ProjectName</f>
        <v>0</v>
      </c>
      <c r="C2" s="23">
        <f>Wizard.ProjectBudget</f>
        <v>0</v>
      </c>
      <c r="D2" s="23">
        <f>Wizard.ProjectBeginDate</f>
        <v>0</v>
      </c>
      <c r="E2" s="23">
        <f>Wizard.Comment</f>
        <v>0</v>
      </c>
      <c r="F2" s="23">
        <f>Helper.SelectedOptionNumber</f>
        <v>4</v>
      </c>
      <c r="G2" s="17"/>
      <c r="H2" s="17"/>
    </row>
    <row r="3" spans="1:8" x14ac:dyDescent="0.25">
      <c r="A3" s="19"/>
      <c r="B3" s="19"/>
      <c r="C3" s="18"/>
      <c r="D3" s="18"/>
      <c r="E3" s="18"/>
    </row>
    <row r="4" spans="1:8" x14ac:dyDescent="0.25">
      <c r="A4" s="20" t="s">
        <v>27</v>
      </c>
      <c r="B4" s="24">
        <f>COUNT(Database[Id])</f>
        <v>5</v>
      </c>
    </row>
    <row r="5" spans="1:8" x14ac:dyDescent="0.25">
      <c r="A5" s="20" t="s">
        <v>28</v>
      </c>
      <c r="B5" s="24">
        <f>MAX(Database[Id])</f>
        <v>5</v>
      </c>
    </row>
    <row r="6" spans="1:8" x14ac:dyDescent="0.25">
      <c r="A6" s="20" t="s">
        <v>29</v>
      </c>
      <c r="B6" s="24"/>
    </row>
    <row r="9" spans="1:8" ht="16.5" x14ac:dyDescent="0.3">
      <c r="A9" s="25" t="s">
        <v>25</v>
      </c>
      <c r="B9" s="25" t="s">
        <v>11</v>
      </c>
      <c r="C9" s="25" t="s">
        <v>12</v>
      </c>
      <c r="D9" s="25" t="s">
        <v>13</v>
      </c>
      <c r="E9" s="25" t="s">
        <v>14</v>
      </c>
      <c r="F9" s="25" t="s">
        <v>26</v>
      </c>
    </row>
    <row r="10" spans="1:8" x14ac:dyDescent="0.25">
      <c r="A10">
        <v>0</v>
      </c>
      <c r="B10" t="s">
        <v>30</v>
      </c>
    </row>
    <row r="11" spans="1:8" x14ac:dyDescent="0.25">
      <c r="A11">
        <v>1</v>
      </c>
      <c r="B11">
        <v>0</v>
      </c>
      <c r="C11">
        <v>0</v>
      </c>
      <c r="D11">
        <v>0</v>
      </c>
      <c r="E11">
        <v>0</v>
      </c>
      <c r="F11">
        <v>4</v>
      </c>
    </row>
    <row r="12" spans="1:8" x14ac:dyDescent="0.25">
      <c r="A12">
        <v>2</v>
      </c>
      <c r="B12" t="s">
        <v>32</v>
      </c>
      <c r="C12">
        <v>40000000</v>
      </c>
      <c r="D12">
        <v>43466</v>
      </c>
      <c r="E12" t="s">
        <v>33</v>
      </c>
      <c r="F12">
        <v>4</v>
      </c>
    </row>
    <row r="13" spans="1:8" x14ac:dyDescent="0.25">
      <c r="A13">
        <v>4</v>
      </c>
      <c r="B13" t="s">
        <v>34</v>
      </c>
      <c r="C13">
        <v>100000</v>
      </c>
      <c r="D13">
        <v>43466</v>
      </c>
      <c r="E13" t="s">
        <v>33</v>
      </c>
      <c r="F13">
        <v>4</v>
      </c>
    </row>
    <row r="14" spans="1:8" x14ac:dyDescent="0.25">
      <c r="A14">
        <v>5</v>
      </c>
      <c r="B14">
        <v>0</v>
      </c>
      <c r="C14">
        <v>0</v>
      </c>
      <c r="D14">
        <v>0</v>
      </c>
      <c r="E14">
        <v>0</v>
      </c>
      <c r="F14">
        <v>4</v>
      </c>
    </row>
  </sheetData>
  <pageMargins left="0.7" right="0.7" top="0.75" bottom="0.75" header="0.3" footer="0.3"/>
  <pageSetup orientation="portrait" horizontalDpi="0" verticalDpi="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17</vt:i4>
      </vt:variant>
    </vt:vector>
  </HeadingPairs>
  <TitlesOfParts>
    <vt:vector size="21" baseType="lpstr">
      <vt:lpstr>Frontend</vt:lpstr>
      <vt:lpstr>Wizard</vt:lpstr>
      <vt:lpstr>Helper</vt:lpstr>
      <vt:lpstr>Database</vt:lpstr>
      <vt:lpstr>Database.CurrentIndex</vt:lpstr>
      <vt:lpstr>Database.InputEntry</vt:lpstr>
      <vt:lpstr>Database.RecordCount</vt:lpstr>
      <vt:lpstr>Database.RecordMax</vt:lpstr>
      <vt:lpstr>Helper.CurrentPageIndex</vt:lpstr>
      <vt:lpstr>Helper.InstructionsTable</vt:lpstr>
      <vt:lpstr>Helper.SelectedOptionNumber</vt:lpstr>
      <vt:lpstr>Helper.SelectionOptionFromTable</vt:lpstr>
      <vt:lpstr>Helper.TotalPages</vt:lpstr>
      <vt:lpstr>Wizard.Comment</vt:lpstr>
      <vt:lpstr>Wizard.ProjectBeginDate</vt:lpstr>
      <vt:lpstr>Wizard.ProjectBudget</vt:lpstr>
      <vt:lpstr>Wizard.ProjectName</vt:lpstr>
      <vt:lpstr>Wizard.StepRange</vt:lpstr>
      <vt:lpstr>Wizard.View1</vt:lpstr>
      <vt:lpstr>Wizard.View2</vt:lpstr>
      <vt:lpstr>Wizard.View3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Jordan Goldmeier</cp:lastModifiedBy>
  <dcterms:created xsi:type="dcterms:W3CDTF">2013-10-17T18:42:23Z</dcterms:created>
  <dcterms:modified xsi:type="dcterms:W3CDTF">2019-08-29T17:29:54Z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6c81a4e6-27e0-46f3-bcab-6040638560f0</vt:lpwstr>
  </property>
  <property fmtid="{D5CDD505-2E9C-101B-9397-08002B2CF9AE}" pid="3" name="Workbook type">
    <vt:lpwstr>Custom</vt:lpwstr>
  </property>
  <property fmtid="{D5CDD505-2E9C-101B-9397-08002B2CF9AE}" pid="4" name="Workbook version">
    <vt:lpwstr>Custom</vt:lpwstr>
  </property>
</Properties>
</file>